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/>
  <mc:AlternateContent xmlns:mc="http://schemas.openxmlformats.org/markup-compatibility/2006">
    <mc:Choice Requires="x15">
      <x15ac:absPath xmlns:x15ac="http://schemas.microsoft.com/office/spreadsheetml/2010/11/ac" url="C:\Downloads\github\fenton-nolinear-calculator\excel\"/>
    </mc:Choice>
  </mc:AlternateContent>
  <bookViews>
    <workbookView xWindow="0" yWindow="0" windowWidth="20490" windowHeight="7755"/>
  </bookViews>
  <sheets>
    <sheet name="wavelength" sheetId="1" r:id="rId1"/>
  </sheets>
  <functionGroups builtInGroupCount="18"/>
  <calcPr calcId="15251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3" i="1" l="1"/>
  <c r="B11" i="1"/>
  <c r="B12" i="1"/>
  <c r="B9" i="1"/>
  <c r="B10" i="1"/>
  <c r="B8" i="1"/>
</calcChain>
</file>

<file path=xl/sharedStrings.xml><?xml version="1.0" encoding="utf-8"?>
<sst xmlns="http://schemas.openxmlformats.org/spreadsheetml/2006/main" count="12" uniqueCount="12">
  <si>
    <t>wave height, H(m)=</t>
  </si>
  <si>
    <t>period, T(s)=</t>
  </si>
  <si>
    <t>depth, d(m)=</t>
  </si>
  <si>
    <t>current, U(m/s)=</t>
  </si>
  <si>
    <t>L_fenton(m)=</t>
  </si>
  <si>
    <t>L_pade(m)=</t>
  </si>
  <si>
    <t>L_neural(m)=</t>
  </si>
  <si>
    <t>L_genetic(m)=</t>
  </si>
  <si>
    <t>L_effective(m)=</t>
  </si>
  <si>
    <t>L_linear(m)=</t>
  </si>
  <si>
    <t>Results:</t>
  </si>
  <si>
    <t>Inputs: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</si>
</sst>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"/>
    </font>
    <font>
      <sz val="10"/>
      <name val="Arial"/>
      <family val="2"/>
      <charset val="1"/>
    </font>
    <font>
      <sz val="16"/>
      <color theme="1"/>
      <name val="Calibri"/>
      <family val="2"/>
      <charset val="1"/>
    </font>
    <font>
      <b/>
      <sz val="16"/>
      <color theme="0"/>
      <name val="Calibri"/>
      <family val="2"/>
      <charset val="1"/>
    </font>
    <font>
      <b/>
      <sz val="16"/>
      <color theme="1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00B050"/>
        <bgColor rgb="FF008080"/>
      </patternFill>
    </fill>
    <fill>
      <patternFill patternType="solid">
        <fgColor theme="4" tint="-0.249977111117893"/>
        <bgColor rgb="FF008080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/>
    <xf numFmtId="0" fontId="2" fillId="0" borderId="1" xfId="0" applyFont="1" applyBorder="1" applyAlignment="1">
      <alignment horizontal="right"/>
    </xf>
    <xf numFmtId="2" fontId="2" fillId="0" borderId="1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0" fontId="4" fillId="0" borderId="1" xfId="0" applyFon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3" fillId="2" borderId="2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0" fillId="4" borderId="3" xfId="0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showGridLines="0" tabSelected="1" zoomScaleNormal="100" workbookViewId="0">
      <selection sqref="A1:B1"/>
    </sheetView>
  </sheetViews>
  <sheetFormatPr defaultColWidth="35" defaultRowHeight="21" customHeight="1" x14ac:dyDescent="0.35"/>
  <cols>
    <col min="1" max="1" width="33.5703125" style="1" customWidth="1"/>
    <col min="2" max="2" width="19.28515625" style="2" customWidth="1"/>
    <col min="3" max="16384" width="35" style="2"/>
  </cols>
  <sheetData>
    <row r="1" spans="1:2" ht="21" customHeight="1" x14ac:dyDescent="0.35">
      <c r="A1" s="10" t="s">
        <v>11</v>
      </c>
      <c r="B1" s="11"/>
    </row>
    <row r="2" spans="1:2" ht="21" customHeight="1" x14ac:dyDescent="0.35">
      <c r="A2" s="3" t="s">
        <v>0</v>
      </c>
      <c r="B2" s="4">
        <v>3</v>
      </c>
    </row>
    <row r="3" spans="1:2" ht="21" customHeight="1" x14ac:dyDescent="0.35">
      <c r="A3" s="3" t="s">
        <v>1</v>
      </c>
      <c r="B3" s="4">
        <v>9</v>
      </c>
    </row>
    <row r="4" spans="1:2" ht="21" customHeight="1" x14ac:dyDescent="0.35">
      <c r="A4" s="3" t="s">
        <v>2</v>
      </c>
      <c r="B4" s="4">
        <v>5</v>
      </c>
    </row>
    <row r="5" spans="1:2" ht="21" customHeight="1" x14ac:dyDescent="0.35">
      <c r="A5" s="3" t="s">
        <v>3</v>
      </c>
      <c r="B5" s="4">
        <v>1</v>
      </c>
    </row>
    <row r="6" spans="1:2" ht="21" customHeight="1" x14ac:dyDescent="0.35">
      <c r="B6" s="5"/>
    </row>
    <row r="7" spans="1:2" ht="21" customHeight="1" x14ac:dyDescent="0.35">
      <c r="A7" s="8" t="s">
        <v>10</v>
      </c>
      <c r="B7" s="9"/>
    </row>
    <row r="8" spans="1:2" ht="21" customHeight="1" x14ac:dyDescent="0.35">
      <c r="A8" s="6" t="s">
        <v>4</v>
      </c>
      <c r="B8" s="7">
        <f>L_FENTON(B2,B3,B4,B5,TRUE())</f>
        <v>78.827202937928192</v>
      </c>
    </row>
    <row r="9" spans="1:2" ht="21" customHeight="1" x14ac:dyDescent="0.35">
      <c r="A9" s="6" t="s">
        <v>5</v>
      </c>
      <c r="B9" s="7">
        <f>L_PADE(B2,B3,B4, B5)</f>
        <v>78.821003883494399</v>
      </c>
    </row>
    <row r="10" spans="1:2" ht="21" customHeight="1" x14ac:dyDescent="0.35">
      <c r="A10" s="6" t="s">
        <v>6</v>
      </c>
      <c r="B10" s="7">
        <f>L_NEURAL(B2,B3,B4, B5)</f>
        <v>79.274031269828555</v>
      </c>
    </row>
    <row r="11" spans="1:2" ht="21" customHeight="1" x14ac:dyDescent="0.35">
      <c r="A11" s="6" t="s">
        <v>7</v>
      </c>
      <c r="B11" s="7">
        <f>L_GENETIC(B2,B3,B4, B5)</f>
        <v>81.804702110917802</v>
      </c>
    </row>
    <row r="12" spans="1:2" ht="21" customHeight="1" x14ac:dyDescent="0.35">
      <c r="A12" s="6" t="s">
        <v>8</v>
      </c>
      <c r="B12" s="7">
        <f>L_EFFECTIVE(B2,B3,B4, B5)</f>
        <v>78.291415770018972</v>
      </c>
    </row>
    <row r="13" spans="1:2" ht="21" customHeight="1" x14ac:dyDescent="0.35">
      <c r="A13" s="6" t="s">
        <v>9</v>
      </c>
      <c r="B13" s="7">
        <f>L_LINEAR(B3,B4,B5)</f>
        <v>70.033745978361509</v>
      </c>
    </row>
  </sheetData>
  <mergeCells count="2">
    <mergeCell ref="A7:B7"/>
    <mergeCell ref="A1:B1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wavelength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user</cp:lastModifiedBy>
  <cp:revision>0</cp:revision>
  <dcterms:created xsi:type="dcterms:W3CDTF">2006-09-16T00:00:00Z</dcterms:created>
  <dcterms:modified xsi:type="dcterms:W3CDTF">2026-03-22T10:34:40Z</dcterms:modified>
  <dc:language>en-US</dc:language>
</cp:coreProperties>
</file>